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/>
  <mc:AlternateContent xmlns:mc="http://schemas.openxmlformats.org/markup-compatibility/2006">
    <mc:Choice Requires="x15">
      <x15ac:absPath xmlns:x15ac="http://schemas.microsoft.com/office/spreadsheetml/2010/11/ac" url="D:\test001\trajectory-prediction-on-PatchTST\PatchTST_self_supervised\results\"/>
    </mc:Choice>
  </mc:AlternateContent>
  <xr:revisionPtr revIDLastSave="0" documentId="13_ncr:1_{B76F32FC-F611-4B68-8D2E-6092D993261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P5" i="1" l="1"/>
  <c r="P4" i="1"/>
  <c r="K5" i="1"/>
  <c r="K4" i="1"/>
  <c r="F5" i="1"/>
  <c r="F4" i="1"/>
  <c r="O14" i="1"/>
  <c r="O11" i="1"/>
  <c r="M14" i="1"/>
  <c r="P14" i="1" s="1"/>
  <c r="M11" i="1"/>
  <c r="P11" i="1" s="1"/>
  <c r="J14" i="1"/>
  <c r="J11" i="1"/>
  <c r="H14" i="1"/>
  <c r="K14" i="1" s="1"/>
  <c r="H11" i="1"/>
  <c r="K11" i="1" s="1"/>
  <c r="E14" i="1"/>
  <c r="E11" i="1"/>
  <c r="C14" i="1"/>
  <c r="F14" i="1" s="1"/>
  <c r="C11" i="1"/>
  <c r="F11" i="1" s="1"/>
</calcChain>
</file>

<file path=xl/sharedStrings.xml><?xml version="1.0" encoding="utf-8"?>
<sst xmlns="http://schemas.openxmlformats.org/spreadsheetml/2006/main" count="35" uniqueCount="12">
  <si>
    <t>目标域数据集</t>
  </si>
  <si>
    <t>s0.3548_m907</t>
  </si>
  <si>
    <t>HTV2</t>
  </si>
  <si>
    <t>CAV-H</t>
  </si>
  <si>
    <t>数据量</t>
  </si>
  <si>
    <t>是否微调</t>
  </si>
  <si>
    <t>linear-probe</t>
  </si>
  <si>
    <t>fine-tune</t>
  </si>
  <si>
    <t>improvement</t>
  </si>
  <si>
    <t>last-3-dim-mse</t>
  </si>
  <si>
    <t>last-3-dim-mae</t>
  </si>
  <si>
    <t>实验结果分析：
1. 本次实验对比上次实验结果，有两点提升：
1）fine-tune后的mse,mae降低
2）improvement提升
2. 本次实验结果还暂时未达到60%的指标，分析原因为：
1）fine-tune后，最后一个特征的mse值相对于其他两个特征比较大，导致后三维的平均值降不下来
3. 下一步计划：
1）模型中有一个use_time_feature的选项，修改数据后并尝试打开该选项，发现代码报错，修改完报错后发现效果和不开启差不多，这部分再尝试修改一下，觉得是一个可以借鉴的思路。
2）尝试看看能不能降低最后一个特征的mse
4. 本次实验在对比liear-probe和fine-tune结果时，发现了该论文中提出的revIn归一化方法，会导致mse增大，因此上表中的实验结果在以下对比条件下完成：
1）在linear-probe中开启revIn，在fine-tune中关闭revIn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</si>
</sst>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charset val="134"/>
      <scheme val="minor"/>
    </font>
    <font>
      <b/>
      <sz val="11"/>
      <color rgb="FFFF0000"/>
      <name val="等线"/>
      <charset val="134"/>
      <scheme val="minor"/>
    </font>
    <font>
      <sz val="9"/>
      <name val="等线"/>
      <family val="3"/>
      <charset val="134"/>
      <scheme val="minor"/>
    </font>
    <font>
      <sz val="18"/>
      <color theme="1"/>
      <name val="等线"/>
      <family val="3"/>
      <charset val="134"/>
      <scheme val="minor"/>
    </font>
    <font>
      <b/>
      <sz val="18"/>
      <color rgb="FFFF0000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10" fontId="3" fillId="3" borderId="1" xfId="0" applyNumberFormat="1" applyFont="1" applyFill="1" applyBorder="1" applyAlignment="1">
      <alignment horizontal="center" vertical="center"/>
    </xf>
    <xf numFmtId="10" fontId="4" fillId="3" borderId="1" xfId="0" applyNumberFormat="1" applyFont="1" applyFill="1" applyBorder="1" applyAlignment="1">
      <alignment horizontal="center" vertical="center"/>
    </xf>
    <xf numFmtId="10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left" vertical="top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www.wps.cn/officeDocument/2023/relationships/customStorage" Target="customStorage/customStorage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567765</xdr:colOff>
      <xdr:row>5</xdr:row>
      <xdr:rowOff>67235</xdr:rowOff>
    </xdr:from>
    <xdr:to>
      <xdr:col>2</xdr:col>
      <xdr:colOff>291353</xdr:colOff>
      <xdr:row>8</xdr:row>
      <xdr:rowOff>283883</xdr:rowOff>
    </xdr:to>
    <xdr:cxnSp macro="">
      <xdr:nvCxnSpPr>
        <xdr:cNvPr id="7" name="直接箭头连接符 6">
          <a:extLst>
            <a:ext uri="{FF2B5EF4-FFF2-40B4-BE49-F238E27FC236}">
              <a16:creationId xmlns:a16="http://schemas.microsoft.com/office/drawing/2014/main" id="{53486579-3825-B967-0035-8C19190D2A58}"/>
            </a:ext>
          </a:extLst>
        </xdr:cNvPr>
        <xdr:cNvCxnSpPr/>
      </xdr:nvCxnSpPr>
      <xdr:spPr>
        <a:xfrm>
          <a:off x="2002118" y="1972235"/>
          <a:ext cx="642470" cy="956236"/>
        </a:xfrm>
        <a:prstGeom prst="straightConnector1">
          <a:avLst/>
        </a:prstGeom>
        <a:ln>
          <a:tailEnd type="triangle"/>
        </a:ln>
      </xdr:spPr>
      <xdr:style>
        <a:lnRef idx="3">
          <a:schemeClr val="accent6"/>
        </a:lnRef>
        <a:fillRef idx="0">
          <a:schemeClr val="accent6"/>
        </a:fillRef>
        <a:effectRef idx="2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3</xdr:col>
      <xdr:colOff>620058</xdr:colOff>
      <xdr:row>5</xdr:row>
      <xdr:rowOff>141941</xdr:rowOff>
    </xdr:from>
    <xdr:to>
      <xdr:col>4</xdr:col>
      <xdr:colOff>276412</xdr:colOff>
      <xdr:row>8</xdr:row>
      <xdr:rowOff>216647</xdr:rowOff>
    </xdr:to>
    <xdr:cxnSp macro="">
      <xdr:nvCxnSpPr>
        <xdr:cNvPr id="9" name="直接箭头连接符 8">
          <a:extLst>
            <a:ext uri="{FF2B5EF4-FFF2-40B4-BE49-F238E27FC236}">
              <a16:creationId xmlns:a16="http://schemas.microsoft.com/office/drawing/2014/main" id="{FB870B71-B89D-0CD8-D8EF-E6858F463522}"/>
            </a:ext>
          </a:extLst>
        </xdr:cNvPr>
        <xdr:cNvCxnSpPr/>
      </xdr:nvCxnSpPr>
      <xdr:spPr>
        <a:xfrm>
          <a:off x="3892176" y="2046941"/>
          <a:ext cx="575236" cy="814294"/>
        </a:xfrm>
        <a:prstGeom prst="straightConnector1">
          <a:avLst/>
        </a:prstGeom>
        <a:ln>
          <a:tailEnd type="triangle"/>
        </a:ln>
      </xdr:spPr>
      <xdr:style>
        <a:lnRef idx="3">
          <a:schemeClr val="accent6"/>
        </a:lnRef>
        <a:fillRef idx="0">
          <a:schemeClr val="accent6"/>
        </a:fillRef>
        <a:effectRef idx="2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6</xdr:col>
      <xdr:colOff>642470</xdr:colOff>
      <xdr:row>6</xdr:row>
      <xdr:rowOff>0</xdr:rowOff>
    </xdr:from>
    <xdr:to>
      <xdr:col>7</xdr:col>
      <xdr:colOff>298824</xdr:colOff>
      <xdr:row>8</xdr:row>
      <xdr:rowOff>239059</xdr:rowOff>
    </xdr:to>
    <xdr:cxnSp macro="">
      <xdr:nvCxnSpPr>
        <xdr:cNvPr id="11" name="直接箭头连接符 10">
          <a:extLst>
            <a:ext uri="{FF2B5EF4-FFF2-40B4-BE49-F238E27FC236}">
              <a16:creationId xmlns:a16="http://schemas.microsoft.com/office/drawing/2014/main" id="{CA72403A-2BA5-46A1-A2CE-184A9251B6CB}"/>
            </a:ext>
          </a:extLst>
        </xdr:cNvPr>
        <xdr:cNvCxnSpPr/>
      </xdr:nvCxnSpPr>
      <xdr:spPr>
        <a:xfrm>
          <a:off x="6671235" y="2084294"/>
          <a:ext cx="575236" cy="799353"/>
        </a:xfrm>
        <a:prstGeom prst="straightConnector1">
          <a:avLst/>
        </a:prstGeom>
        <a:ln>
          <a:tailEnd type="triangle"/>
        </a:ln>
      </xdr:spPr>
      <xdr:style>
        <a:lnRef idx="3">
          <a:schemeClr val="accent4"/>
        </a:lnRef>
        <a:fillRef idx="0">
          <a:schemeClr val="accent4"/>
        </a:fillRef>
        <a:effectRef idx="2">
          <a:schemeClr val="accent4"/>
        </a:effectRef>
        <a:fontRef idx="minor">
          <a:schemeClr val="tx1"/>
        </a:fontRef>
      </xdr:style>
    </xdr:cxnSp>
    <xdr:clientData/>
  </xdr:twoCellAnchor>
  <xdr:twoCellAnchor>
    <xdr:from>
      <xdr:col>8</xdr:col>
      <xdr:colOff>747059</xdr:colOff>
      <xdr:row>5</xdr:row>
      <xdr:rowOff>141941</xdr:rowOff>
    </xdr:from>
    <xdr:to>
      <xdr:col>9</xdr:col>
      <xdr:colOff>410882</xdr:colOff>
      <xdr:row>8</xdr:row>
      <xdr:rowOff>216647</xdr:rowOff>
    </xdr:to>
    <xdr:cxnSp macro="">
      <xdr:nvCxnSpPr>
        <xdr:cNvPr id="13" name="直接箭头连接符 12">
          <a:extLst>
            <a:ext uri="{FF2B5EF4-FFF2-40B4-BE49-F238E27FC236}">
              <a16:creationId xmlns:a16="http://schemas.microsoft.com/office/drawing/2014/main" id="{FF611C7D-261E-586F-12C4-6F8DC1365C82}"/>
            </a:ext>
          </a:extLst>
        </xdr:cNvPr>
        <xdr:cNvCxnSpPr/>
      </xdr:nvCxnSpPr>
      <xdr:spPr>
        <a:xfrm>
          <a:off x="8613588" y="2046941"/>
          <a:ext cx="582706" cy="814294"/>
        </a:xfrm>
        <a:prstGeom prst="straightConnector1">
          <a:avLst/>
        </a:prstGeom>
        <a:ln>
          <a:tailEnd type="triangle"/>
        </a:ln>
      </xdr:spPr>
      <xdr:style>
        <a:lnRef idx="3">
          <a:schemeClr val="accent4"/>
        </a:lnRef>
        <a:fillRef idx="0">
          <a:schemeClr val="accent4"/>
        </a:fillRef>
        <a:effectRef idx="2">
          <a:schemeClr val="accent4"/>
        </a:effectRef>
        <a:fontRef idx="minor">
          <a:schemeClr val="tx1"/>
        </a:fontRef>
      </xdr:style>
    </xdr:cxnSp>
    <xdr:clientData/>
  </xdr:twoCellAnchor>
  <xdr:twoCellAnchor>
    <xdr:from>
      <xdr:col>11</xdr:col>
      <xdr:colOff>485588</xdr:colOff>
      <xdr:row>5</xdr:row>
      <xdr:rowOff>97118</xdr:rowOff>
    </xdr:from>
    <xdr:to>
      <xdr:col>12</xdr:col>
      <xdr:colOff>246530</xdr:colOff>
      <xdr:row>8</xdr:row>
      <xdr:rowOff>268941</xdr:rowOff>
    </xdr:to>
    <xdr:cxnSp macro="">
      <xdr:nvCxnSpPr>
        <xdr:cNvPr id="15" name="直接箭头连接符 14">
          <a:extLst>
            <a:ext uri="{FF2B5EF4-FFF2-40B4-BE49-F238E27FC236}">
              <a16:creationId xmlns:a16="http://schemas.microsoft.com/office/drawing/2014/main" id="{48A3A4BB-DEFE-DCF3-0005-D5D77F05EE41}"/>
            </a:ext>
          </a:extLst>
        </xdr:cNvPr>
        <xdr:cNvCxnSpPr/>
      </xdr:nvCxnSpPr>
      <xdr:spPr>
        <a:xfrm>
          <a:off x="11228294" y="2002118"/>
          <a:ext cx="679824" cy="911411"/>
        </a:xfrm>
        <a:prstGeom prst="straightConnector1">
          <a:avLst/>
        </a:prstGeom>
        <a:ln>
          <a:tailEnd type="triangle"/>
        </a:ln>
      </xdr:spPr>
      <xdr:style>
        <a:lnRef idx="3">
          <a:schemeClr val="accent1"/>
        </a:lnRef>
        <a:fillRef idx="0">
          <a:schemeClr val="accent1"/>
        </a:fillRef>
        <a:effectRef idx="2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844176</xdr:colOff>
      <xdr:row>5</xdr:row>
      <xdr:rowOff>164353</xdr:rowOff>
    </xdr:from>
    <xdr:to>
      <xdr:col>14</xdr:col>
      <xdr:colOff>470647</xdr:colOff>
      <xdr:row>8</xdr:row>
      <xdr:rowOff>201706</xdr:rowOff>
    </xdr:to>
    <xdr:cxnSp macro="">
      <xdr:nvCxnSpPr>
        <xdr:cNvPr id="17" name="直接箭头连接符 16">
          <a:extLst>
            <a:ext uri="{FF2B5EF4-FFF2-40B4-BE49-F238E27FC236}">
              <a16:creationId xmlns:a16="http://schemas.microsoft.com/office/drawing/2014/main" id="{0DC5CBD9-D16F-9062-55B2-2563D5D792D4}"/>
            </a:ext>
          </a:extLst>
        </xdr:cNvPr>
        <xdr:cNvCxnSpPr/>
      </xdr:nvCxnSpPr>
      <xdr:spPr>
        <a:xfrm>
          <a:off x="13424647" y="2069353"/>
          <a:ext cx="545353" cy="776941"/>
        </a:xfrm>
        <a:prstGeom prst="straightConnector1">
          <a:avLst/>
        </a:prstGeom>
        <a:ln>
          <a:tailEnd type="triangle"/>
        </a:ln>
      </xdr:spPr>
      <xdr:style>
        <a:lnRef idx="3">
          <a:schemeClr val="accent1"/>
        </a:lnRef>
        <a:fillRef idx="0">
          <a:schemeClr val="accent1"/>
        </a:fillRef>
        <a:effectRef idx="2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7"/>
  <sheetViews>
    <sheetView tabSelected="1" zoomScale="58" zoomScaleNormal="85" workbookViewId="0">
      <selection activeCell="V12" sqref="V12"/>
    </sheetView>
  </sheetViews>
  <sheetFormatPr defaultColWidth="9" defaultRowHeight="14" x14ac:dyDescent="0.3"/>
  <cols>
    <col min="1" max="1" width="18.83203125" style="1" customWidth="1"/>
    <col min="2" max="10" width="12.08203125" style="1" customWidth="1"/>
    <col min="11" max="11" width="13.58203125" style="1" customWidth="1"/>
    <col min="12" max="15" width="12.08203125" style="1" customWidth="1"/>
    <col min="16" max="16" width="14.08203125" customWidth="1"/>
  </cols>
  <sheetData>
    <row r="1" spans="1:16" ht="30" customHeight="1" x14ac:dyDescent="0.3">
      <c r="A1" s="2" t="s">
        <v>0</v>
      </c>
      <c r="B1" s="4" t="s">
        <v>1</v>
      </c>
      <c r="C1" s="5"/>
      <c r="D1" s="5"/>
      <c r="E1" s="5"/>
      <c r="F1" s="5"/>
      <c r="G1" s="4" t="s">
        <v>2</v>
      </c>
      <c r="H1" s="5"/>
      <c r="I1" s="5"/>
      <c r="J1" s="5"/>
      <c r="K1" s="5"/>
      <c r="L1" s="6" t="s">
        <v>3</v>
      </c>
      <c r="M1" s="6"/>
      <c r="N1" s="6"/>
      <c r="O1" s="6"/>
      <c r="P1" s="6"/>
    </row>
    <row r="2" spans="1:16" ht="30" customHeight="1" x14ac:dyDescent="0.3">
      <c r="A2" s="2" t="s">
        <v>4</v>
      </c>
      <c r="B2" s="4">
        <v>41104</v>
      </c>
      <c r="C2" s="5"/>
      <c r="D2" s="5"/>
      <c r="E2" s="5"/>
      <c r="F2" s="7"/>
      <c r="G2" s="4">
        <v>41104</v>
      </c>
      <c r="H2" s="5"/>
      <c r="I2" s="5"/>
      <c r="J2" s="5"/>
      <c r="K2" s="5"/>
      <c r="L2" s="8">
        <v>41104</v>
      </c>
      <c r="M2" s="8"/>
      <c r="N2" s="8"/>
      <c r="O2" s="8"/>
      <c r="P2" s="8"/>
    </row>
    <row r="3" spans="1:16" ht="30" customHeight="1" x14ac:dyDescent="0.3">
      <c r="A3" s="2" t="s">
        <v>5</v>
      </c>
      <c r="B3" s="2" t="s">
        <v>6</v>
      </c>
      <c r="C3" s="2"/>
      <c r="D3" s="2" t="s">
        <v>7</v>
      </c>
      <c r="E3" s="2"/>
      <c r="F3" s="2" t="s">
        <v>8</v>
      </c>
      <c r="G3" s="2" t="s">
        <v>6</v>
      </c>
      <c r="H3" s="2"/>
      <c r="I3" s="2" t="s">
        <v>7</v>
      </c>
      <c r="J3" s="2"/>
      <c r="K3" s="2" t="s">
        <v>8</v>
      </c>
      <c r="L3" s="2" t="s">
        <v>6</v>
      </c>
      <c r="M3" s="2"/>
      <c r="N3" s="2" t="s">
        <v>7</v>
      </c>
      <c r="O3" s="2"/>
      <c r="P3" s="2" t="s">
        <v>8</v>
      </c>
    </row>
    <row r="4" spans="1:16" ht="30" customHeight="1" x14ac:dyDescent="0.3">
      <c r="A4" s="10" t="s">
        <v>9</v>
      </c>
      <c r="B4" s="3">
        <v>0.55036430000000003</v>
      </c>
      <c r="C4" s="10"/>
      <c r="D4" s="18">
        <v>0.40708299999999997</v>
      </c>
      <c r="E4" s="10"/>
      <c r="F4" s="28">
        <f>(B4-D4)/B4</f>
        <v>0.26033901544849486</v>
      </c>
      <c r="G4" s="20">
        <v>0.65622530000000001</v>
      </c>
      <c r="H4" s="10"/>
      <c r="I4" s="22">
        <v>0.60657899999999998</v>
      </c>
      <c r="J4" s="10"/>
      <c r="K4" s="28">
        <f>(G4-I4)/G4</f>
        <v>7.5654352247619877E-2</v>
      </c>
      <c r="L4" s="24">
        <v>0.62741632999999997</v>
      </c>
      <c r="M4" s="10"/>
      <c r="N4" s="26">
        <v>0.39174560000000003</v>
      </c>
      <c r="O4" s="10"/>
      <c r="P4" s="28">
        <f>(L4-N4)/L4</f>
        <v>0.37562096925338229</v>
      </c>
    </row>
    <row r="5" spans="1:16" ht="30" customHeight="1" x14ac:dyDescent="0.3">
      <c r="A5" s="10" t="s">
        <v>10</v>
      </c>
      <c r="B5" s="3">
        <v>0.4193403</v>
      </c>
      <c r="C5" s="10"/>
      <c r="D5" s="18">
        <v>0.33121299999999998</v>
      </c>
      <c r="E5" s="10"/>
      <c r="F5" s="28">
        <f>(B5-D5)/B5</f>
        <v>0.21015700136619356</v>
      </c>
      <c r="G5" s="20">
        <v>0.471443</v>
      </c>
      <c r="H5" s="10"/>
      <c r="I5" s="22">
        <v>0.44656800000000002</v>
      </c>
      <c r="J5" s="10"/>
      <c r="K5" s="28">
        <f>(G5-I5)/G5</f>
        <v>5.2763536631151547E-2</v>
      </c>
      <c r="L5" s="24">
        <v>0.46950399999999998</v>
      </c>
      <c r="M5" s="10"/>
      <c r="N5" s="26">
        <v>0.3217296</v>
      </c>
      <c r="O5" s="10"/>
      <c r="P5" s="28">
        <f>(L5-N5)/L5</f>
        <v>0.31474577426390399</v>
      </c>
    </row>
    <row r="8" spans="1:16" ht="30" customHeight="1" x14ac:dyDescent="0.3">
      <c r="A8" s="2" t="s">
        <v>0</v>
      </c>
      <c r="B8" s="4" t="s">
        <v>1</v>
      </c>
      <c r="C8" s="5"/>
      <c r="D8" s="5"/>
      <c r="E8" s="5"/>
      <c r="F8" s="5"/>
      <c r="G8" s="4" t="s">
        <v>2</v>
      </c>
      <c r="H8" s="5"/>
      <c r="I8" s="5"/>
      <c r="J8" s="5"/>
      <c r="K8" s="5"/>
      <c r="L8" s="6" t="s">
        <v>3</v>
      </c>
      <c r="M8" s="6"/>
      <c r="N8" s="6"/>
      <c r="O8" s="6"/>
      <c r="P8" s="6"/>
    </row>
    <row r="9" spans="1:16" ht="30" customHeight="1" x14ac:dyDescent="0.3">
      <c r="A9" s="2" t="s">
        <v>4</v>
      </c>
      <c r="B9" s="4">
        <v>41104</v>
      </c>
      <c r="C9" s="5"/>
      <c r="D9" s="5"/>
      <c r="E9" s="5"/>
      <c r="F9" s="7"/>
      <c r="G9" s="4">
        <v>41104</v>
      </c>
      <c r="H9" s="5"/>
      <c r="I9" s="5"/>
      <c r="J9" s="5"/>
      <c r="K9" s="5"/>
      <c r="L9" s="8">
        <v>41104</v>
      </c>
      <c r="M9" s="8"/>
      <c r="N9" s="8"/>
      <c r="O9" s="8"/>
      <c r="P9" s="8"/>
    </row>
    <row r="10" spans="1:16" ht="30" customHeight="1" x14ac:dyDescent="0.3">
      <c r="A10" s="2" t="s">
        <v>5</v>
      </c>
      <c r="B10" s="2" t="s">
        <v>6</v>
      </c>
      <c r="C10" s="2"/>
      <c r="D10" s="2" t="s">
        <v>7</v>
      </c>
      <c r="E10" s="2"/>
      <c r="F10" s="2" t="s">
        <v>8</v>
      </c>
      <c r="G10" s="2" t="s">
        <v>6</v>
      </c>
      <c r="H10" s="2"/>
      <c r="I10" s="2" t="s">
        <v>7</v>
      </c>
      <c r="J10" s="2"/>
      <c r="K10" s="2" t="s">
        <v>8</v>
      </c>
      <c r="L10" s="2" t="s">
        <v>6</v>
      </c>
      <c r="M10" s="2"/>
      <c r="N10" s="2" t="s">
        <v>7</v>
      </c>
      <c r="O10" s="2"/>
      <c r="P10" s="2" t="s">
        <v>8</v>
      </c>
    </row>
    <row r="11" spans="1:16" ht="30" customHeight="1" x14ac:dyDescent="0.3">
      <c r="A11" s="11" t="s">
        <v>9</v>
      </c>
      <c r="B11" s="10">
        <v>0.58713000000000004</v>
      </c>
      <c r="C11" s="9">
        <f>(B11+B12+B13)/3</f>
        <v>0.56205133333333335</v>
      </c>
      <c r="D11" s="10">
        <v>0.26491100000000001</v>
      </c>
      <c r="E11" s="19">
        <f>(D11+D12+D13)/3</f>
        <v>0.27782566666666669</v>
      </c>
      <c r="F11" s="29">
        <f>(C11-E11)/C11</f>
        <v>0.50569343013746071</v>
      </c>
      <c r="G11" s="10">
        <v>0.63106099999999998</v>
      </c>
      <c r="H11" s="21">
        <f>(G11+G12+G13)/3</f>
        <v>0.62715066666666663</v>
      </c>
      <c r="I11" s="10">
        <v>0.33347599999999999</v>
      </c>
      <c r="J11" s="23">
        <f>(I11+I12+I13)/3</f>
        <v>0.37187333333333333</v>
      </c>
      <c r="K11" s="29">
        <f>(H11-J11)/H11</f>
        <v>0.40704307098985248</v>
      </c>
      <c r="L11" s="10">
        <v>0.59299199999999996</v>
      </c>
      <c r="M11" s="25">
        <f>(L11+L12+L13)/3</f>
        <v>0.64660933333333326</v>
      </c>
      <c r="N11" s="10">
        <v>0.203704</v>
      </c>
      <c r="O11" s="27">
        <f>(N11+N12+N13)/3</f>
        <v>0.28205200000000002</v>
      </c>
      <c r="P11" s="29">
        <f>(M11-O11)/M11</f>
        <v>0.56379843986167832</v>
      </c>
    </row>
    <row r="12" spans="1:16" ht="30" customHeight="1" x14ac:dyDescent="0.3">
      <c r="A12" s="11"/>
      <c r="B12" s="10">
        <v>0.58713000000000004</v>
      </c>
      <c r="C12" s="9"/>
      <c r="D12" s="10">
        <v>0.26491100000000001</v>
      </c>
      <c r="E12" s="19"/>
      <c r="F12" s="29"/>
      <c r="G12" s="10">
        <v>0.63106099999999998</v>
      </c>
      <c r="H12" s="21"/>
      <c r="I12" s="10">
        <v>0.33347599999999999</v>
      </c>
      <c r="J12" s="23"/>
      <c r="K12" s="29"/>
      <c r="L12" s="10">
        <v>0.59299199999999996</v>
      </c>
      <c r="M12" s="25"/>
      <c r="N12" s="10">
        <v>0.203704</v>
      </c>
      <c r="O12" s="27"/>
      <c r="P12" s="29"/>
    </row>
    <row r="13" spans="1:16" ht="30" customHeight="1" x14ac:dyDescent="0.3">
      <c r="A13" s="11"/>
      <c r="B13" s="10">
        <v>0.51189399999999996</v>
      </c>
      <c r="C13" s="9"/>
      <c r="D13" s="10">
        <v>0.30365500000000001</v>
      </c>
      <c r="E13" s="19"/>
      <c r="F13" s="29"/>
      <c r="G13" s="10">
        <v>0.61933000000000005</v>
      </c>
      <c r="H13" s="21"/>
      <c r="I13" s="10">
        <v>0.44866800000000001</v>
      </c>
      <c r="J13" s="23"/>
      <c r="K13" s="29"/>
      <c r="L13" s="10">
        <v>0.75384399999999996</v>
      </c>
      <c r="M13" s="25"/>
      <c r="N13" s="10">
        <v>0.43874800000000003</v>
      </c>
      <c r="O13" s="27"/>
      <c r="P13" s="29"/>
    </row>
    <row r="14" spans="1:16" ht="30" customHeight="1" x14ac:dyDescent="0.3">
      <c r="A14" s="12" t="s">
        <v>10</v>
      </c>
      <c r="B14" s="10">
        <v>0.45217200000000002</v>
      </c>
      <c r="C14" s="15">
        <f>(B14+B15+B16)/3</f>
        <v>0.42595099999999997</v>
      </c>
      <c r="D14" s="10">
        <v>0.27792800000000001</v>
      </c>
      <c r="E14" s="19">
        <f>(D14+D15+D16)/3</f>
        <v>0.27282733333333337</v>
      </c>
      <c r="F14" s="30">
        <f>(C14-E14)/C14</f>
        <v>0.35948657631198566</v>
      </c>
      <c r="G14" s="10">
        <v>0.47901199999999999</v>
      </c>
      <c r="H14" s="21">
        <f>(G14+G15+G16)/3</f>
        <v>0.45496900000000001</v>
      </c>
      <c r="I14" s="10">
        <v>0.32539699999999999</v>
      </c>
      <c r="J14" s="23">
        <f>(I14+I15+I16)/3</f>
        <v>0.32953433333333332</v>
      </c>
      <c r="K14" s="30">
        <f>(H14-J14)/H14</f>
        <v>0.27569936999370659</v>
      </c>
      <c r="L14" s="10">
        <v>0.48830800000000002</v>
      </c>
      <c r="M14" s="25">
        <f>(L14+L15+L16)/3</f>
        <v>0.47747333333333336</v>
      </c>
      <c r="N14" s="10">
        <v>0.234601</v>
      </c>
      <c r="O14" s="27">
        <f>(N14+N15+N16)/3</f>
        <v>0.26478333333333332</v>
      </c>
      <c r="P14" s="30">
        <f>(M14-O14)/M14</f>
        <v>0.44544896050041194</v>
      </c>
    </row>
    <row r="15" spans="1:16" ht="30" customHeight="1" x14ac:dyDescent="0.3">
      <c r="A15" s="13"/>
      <c r="B15" s="10">
        <v>0.45217200000000002</v>
      </c>
      <c r="C15" s="16"/>
      <c r="D15" s="10">
        <v>0.27792800000000001</v>
      </c>
      <c r="E15" s="19"/>
      <c r="F15" s="30"/>
      <c r="G15" s="10">
        <v>0.47901199999999999</v>
      </c>
      <c r="H15" s="21"/>
      <c r="I15" s="10">
        <v>0.32539699999999999</v>
      </c>
      <c r="J15" s="23"/>
      <c r="K15" s="30"/>
      <c r="L15" s="10">
        <v>0.48830800000000002</v>
      </c>
      <c r="M15" s="25"/>
      <c r="N15" s="10">
        <v>0.234601</v>
      </c>
      <c r="O15" s="27"/>
      <c r="P15" s="30"/>
    </row>
    <row r="16" spans="1:16" ht="30" customHeight="1" x14ac:dyDescent="0.3">
      <c r="A16" s="14"/>
      <c r="B16" s="10">
        <v>0.37350899999999998</v>
      </c>
      <c r="C16" s="17"/>
      <c r="D16" s="10">
        <v>0.26262600000000003</v>
      </c>
      <c r="E16" s="19"/>
      <c r="F16" s="30"/>
      <c r="G16" s="10">
        <v>0.40688299999999999</v>
      </c>
      <c r="H16" s="21"/>
      <c r="I16" s="10">
        <v>0.33780900000000003</v>
      </c>
      <c r="J16" s="23"/>
      <c r="K16" s="30"/>
      <c r="L16" s="10">
        <v>0.45580399999999999</v>
      </c>
      <c r="M16" s="25"/>
      <c r="N16" s="10">
        <v>0.32514799999999999</v>
      </c>
      <c r="O16" s="27"/>
      <c r="P16" s="30"/>
    </row>
    <row r="17" spans="1:16" ht="30" customHeight="1" x14ac:dyDescent="0.3"/>
    <row r="18" spans="1:16" ht="30" customHeight="1" x14ac:dyDescent="0.3">
      <c r="A18" s="31" t="s">
        <v>11</v>
      </c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</row>
    <row r="19" spans="1:16" ht="30" customHeight="1" x14ac:dyDescent="0.3">
      <c r="A19" s="31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</row>
    <row r="20" spans="1:16" ht="30" customHeight="1" x14ac:dyDescent="0.3">
      <c r="A20" s="31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</row>
    <row r="21" spans="1:16" ht="30" customHeight="1" x14ac:dyDescent="0.3">
      <c r="A21" s="31"/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</row>
    <row r="22" spans="1:16" ht="30" customHeight="1" x14ac:dyDescent="0.3">
      <c r="A22" s="31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</row>
    <row r="23" spans="1:16" ht="30" customHeight="1" x14ac:dyDescent="0.3">
      <c r="A23" s="31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</row>
    <row r="24" spans="1:16" ht="30" customHeight="1" x14ac:dyDescent="0.3">
      <c r="A24" s="31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</row>
    <row r="25" spans="1:16" ht="30" customHeight="1" x14ac:dyDescent="0.3">
      <c r="A25" s="31"/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</row>
    <row r="26" spans="1:16" ht="30" customHeight="1" x14ac:dyDescent="0.3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</row>
    <row r="27" spans="1:16" ht="30" customHeight="1" x14ac:dyDescent="0.3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</row>
    <row r="28" spans="1:16" x14ac:dyDescent="0.3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</row>
    <row r="29" spans="1:16" x14ac:dyDescent="0.3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</row>
    <row r="30" spans="1:16" x14ac:dyDescent="0.3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</row>
    <row r="31" spans="1:16" x14ac:dyDescent="0.3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</row>
    <row r="32" spans="1:16" x14ac:dyDescent="0.3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</row>
    <row r="33" spans="1:16" x14ac:dyDescent="0.3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</row>
    <row r="34" spans="1:16" x14ac:dyDescent="0.3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</row>
    <row r="35" spans="1:16" x14ac:dyDescent="0.3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</row>
    <row r="36" spans="1:16" x14ac:dyDescent="0.3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</row>
    <row r="37" spans="1:16" x14ac:dyDescent="0.3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</row>
    <row r="38" spans="1:16" x14ac:dyDescent="0.3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</row>
    <row r="39" spans="1:16" x14ac:dyDescent="0.3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</row>
    <row r="40" spans="1:16" x14ac:dyDescent="0.3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</row>
    <row r="41" spans="1:16" x14ac:dyDescent="0.3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</row>
    <row r="42" spans="1:16" x14ac:dyDescent="0.3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</row>
    <row r="43" spans="1:16" x14ac:dyDescent="0.3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</row>
    <row r="44" spans="1:16" x14ac:dyDescent="0.3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</row>
    <row r="45" spans="1:16" x14ac:dyDescent="0.3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</row>
    <row r="46" spans="1:16" x14ac:dyDescent="0.3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</row>
    <row r="47" spans="1:16" x14ac:dyDescent="0.3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</row>
  </sheetData>
  <mergeCells count="33">
    <mergeCell ref="P11:P13"/>
    <mergeCell ref="P14:P16"/>
    <mergeCell ref="A11:A13"/>
    <mergeCell ref="C14:C16"/>
    <mergeCell ref="A14:A16"/>
    <mergeCell ref="J11:J13"/>
    <mergeCell ref="J14:J16"/>
    <mergeCell ref="M11:M13"/>
    <mergeCell ref="M14:M16"/>
    <mergeCell ref="O11:O13"/>
    <mergeCell ref="O14:O16"/>
    <mergeCell ref="K11:K13"/>
    <mergeCell ref="K14:K16"/>
    <mergeCell ref="C11:C13"/>
    <mergeCell ref="E11:E13"/>
    <mergeCell ref="E14:E16"/>
    <mergeCell ref="H11:H13"/>
    <mergeCell ref="H14:H16"/>
    <mergeCell ref="F11:F13"/>
    <mergeCell ref="F14:F16"/>
    <mergeCell ref="A18:P47"/>
    <mergeCell ref="B8:F8"/>
    <mergeCell ref="G8:K8"/>
    <mergeCell ref="L8:P8"/>
    <mergeCell ref="B9:F9"/>
    <mergeCell ref="G9:K9"/>
    <mergeCell ref="L9:P9"/>
    <mergeCell ref="B1:F1"/>
    <mergeCell ref="G1:K1"/>
    <mergeCell ref="L1:P1"/>
    <mergeCell ref="B2:F2"/>
    <mergeCell ref="G2:K2"/>
    <mergeCell ref="L2:P2"/>
  </mergeCells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 zhiyong</dc:creator>
  <cp:lastModifiedBy>Lu zhiyong</cp:lastModifiedBy>
  <dcterms:created xsi:type="dcterms:W3CDTF">2025-06-04T04:12:00Z</dcterms:created>
  <dcterms:modified xsi:type="dcterms:W3CDTF">2025-07-15T17:59:44Z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BE4E623D5A7340D7A49FDE67E6012C1D_13</vt:lpwstr>
  </property>
  <property fmtid="{D5CDD505-2E9C-101B-9397-08002B2CF9AE}" pid="3" name="KSOProductBuildVer">
    <vt:lpwstr>2052-12.1.0.21541</vt:lpwstr>
  </property>
</Properties>
</file>